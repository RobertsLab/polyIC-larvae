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uffmyer/MyProjects/oysters/polyIC-larvae/data/environmental/"/>
    </mc:Choice>
  </mc:AlternateContent>
  <xr:revisionPtr revIDLastSave="0" documentId="13_ncr:1_{F62CC90B-5EEA-3145-AA71-C7E70CAFB351}" xr6:coauthVersionLast="47" xr6:coauthVersionMax="47" xr10:uidLastSave="{00000000-0000-0000-0000-000000000000}"/>
  <bookViews>
    <workbookView xWindow="12640" yWindow="760" windowWidth="17600" windowHeight="17760" xr2:uid="{00BD5C40-37F4-2C4B-83C9-57CC1D291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1" l="1"/>
  <c r="N11" i="1"/>
  <c r="M11" i="1"/>
  <c r="L11" i="1"/>
  <c r="L10" i="1"/>
  <c r="M10" i="1" s="1"/>
  <c r="K11" i="1"/>
  <c r="K10" i="1"/>
  <c r="N7" i="1"/>
  <c r="M7" i="1"/>
  <c r="N6" i="1"/>
  <c r="M6" i="1"/>
  <c r="L7" i="1"/>
  <c r="L6" i="1"/>
  <c r="K7" i="1"/>
  <c r="K6" i="1"/>
</calcChain>
</file>

<file path=xl/sharedStrings.xml><?xml version="1.0" encoding="utf-8"?>
<sst xmlns="http://schemas.openxmlformats.org/spreadsheetml/2006/main" count="403" uniqueCount="36">
  <si>
    <t>PolyIC-tank1</t>
  </si>
  <si>
    <t>ash</t>
  </si>
  <si>
    <t>PolyIC-larvae-control</t>
  </si>
  <si>
    <t>PolyIC-tank2</t>
  </si>
  <si>
    <t>PolyIC-tank4</t>
  </si>
  <si>
    <t>PolyIC-larvae-treated</t>
  </si>
  <si>
    <t>PolyIC-tank5</t>
  </si>
  <si>
    <t>tank</t>
  </si>
  <si>
    <t>date</t>
  </si>
  <si>
    <t>time</t>
  </si>
  <si>
    <t>temp.C</t>
  </si>
  <si>
    <t>pH.nbs</t>
  </si>
  <si>
    <t>sal.psu</t>
  </si>
  <si>
    <t>initials</t>
  </si>
  <si>
    <t>5K_1</t>
  </si>
  <si>
    <t>NA</t>
  </si>
  <si>
    <t>carrie</t>
  </si>
  <si>
    <t>5K_2</t>
  </si>
  <si>
    <t>1K_5</t>
  </si>
  <si>
    <t>1K_6</t>
  </si>
  <si>
    <t>1K_7</t>
  </si>
  <si>
    <t>1K_8</t>
  </si>
  <si>
    <t>1K_9</t>
  </si>
  <si>
    <t>1K_10</t>
  </si>
  <si>
    <t>period</t>
  </si>
  <si>
    <t>Day0-Day3</t>
  </si>
  <si>
    <t>Day4-Day8</t>
  </si>
  <si>
    <t>Day9-Day14</t>
  </si>
  <si>
    <t>Seed</t>
  </si>
  <si>
    <t>group</t>
  </si>
  <si>
    <t>low range</t>
  </si>
  <si>
    <t>high range</t>
  </si>
  <si>
    <t>mean temp</t>
  </si>
  <si>
    <t>std error temp</t>
  </si>
  <si>
    <t>mean pH</t>
  </si>
  <si>
    <t>st error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</si>
</sst>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830F2-F0D8-2646-A72E-53EF0BB26B7B}">
  <dimension ref="A1:N85"/>
  <sheetViews>
    <sheetView tabSelected="1" topLeftCell="D1" workbookViewId="0">
      <pane ySplit="1" topLeftCell="A2" activePane="bottomLeft" state="frozen"/>
      <selection pane="bottomLeft" activeCell="N11" sqref="N11"/>
    </sheetView>
  </sheetViews>
  <sheetFormatPr baseColWidth="10" defaultRowHeight="16" x14ac:dyDescent="0.2"/>
  <cols>
    <col min="1" max="1" width="18.33203125" customWidth="1"/>
    <col min="11" max="11" width="10.83203125" customWidth="1"/>
  </cols>
  <sheetData>
    <row r="1" spans="1:14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29</v>
      </c>
      <c r="I1" t="s">
        <v>24</v>
      </c>
    </row>
    <row r="2" spans="1:14" x14ac:dyDescent="0.2">
      <c r="A2" t="s">
        <v>14</v>
      </c>
      <c r="B2" s="1">
        <v>45572</v>
      </c>
      <c r="C2" s="2">
        <v>0.5</v>
      </c>
      <c r="D2">
        <v>25.6</v>
      </c>
      <c r="E2">
        <v>8.25</v>
      </c>
      <c r="F2" t="s">
        <v>15</v>
      </c>
      <c r="G2" t="s">
        <v>16</v>
      </c>
      <c r="H2" t="s">
        <v>2</v>
      </c>
      <c r="I2" t="s">
        <v>25</v>
      </c>
    </row>
    <row r="3" spans="1:14" x14ac:dyDescent="0.2">
      <c r="A3" t="s">
        <v>17</v>
      </c>
      <c r="B3" s="1">
        <v>45572</v>
      </c>
      <c r="C3" s="2">
        <v>0.5</v>
      </c>
      <c r="D3">
        <v>25.9</v>
      </c>
      <c r="E3">
        <v>8.27</v>
      </c>
      <c r="F3" t="s">
        <v>15</v>
      </c>
      <c r="G3" t="s">
        <v>16</v>
      </c>
      <c r="H3" t="s">
        <v>5</v>
      </c>
      <c r="I3" t="s">
        <v>25</v>
      </c>
    </row>
    <row r="4" spans="1:14" x14ac:dyDescent="0.2">
      <c r="A4" t="s">
        <v>14</v>
      </c>
      <c r="B4" s="1">
        <v>45573</v>
      </c>
      <c r="C4" s="2">
        <v>0.375</v>
      </c>
      <c r="D4">
        <v>22.9</v>
      </c>
      <c r="E4">
        <v>8.2799999999999994</v>
      </c>
      <c r="F4" t="s">
        <v>15</v>
      </c>
      <c r="G4" t="s">
        <v>16</v>
      </c>
      <c r="H4" t="s">
        <v>2</v>
      </c>
      <c r="I4" t="s">
        <v>25</v>
      </c>
    </row>
    <row r="5" spans="1:14" x14ac:dyDescent="0.2">
      <c r="A5" t="s">
        <v>17</v>
      </c>
      <c r="B5" s="1">
        <v>45573</v>
      </c>
      <c r="C5" s="2">
        <v>0.375</v>
      </c>
      <c r="D5">
        <v>23.6</v>
      </c>
      <c r="E5">
        <v>8.1999999999999993</v>
      </c>
      <c r="F5" t="s">
        <v>15</v>
      </c>
      <c r="G5" t="s">
        <v>16</v>
      </c>
      <c r="H5" t="s">
        <v>5</v>
      </c>
      <c r="I5" t="s">
        <v>25</v>
      </c>
      <c r="K5" t="s">
        <v>32</v>
      </c>
      <c r="L5" t="s">
        <v>33</v>
      </c>
      <c r="M5" t="s">
        <v>30</v>
      </c>
      <c r="N5" t="s">
        <v>31</v>
      </c>
    </row>
    <row r="6" spans="1:14" x14ac:dyDescent="0.2">
      <c r="A6" t="s">
        <v>14</v>
      </c>
      <c r="B6" s="1">
        <v>45573</v>
      </c>
      <c r="C6" s="2">
        <v>0.66666666666666663</v>
      </c>
      <c r="D6">
        <v>26.7</v>
      </c>
      <c r="E6" t="s">
        <v>15</v>
      </c>
      <c r="F6" t="s">
        <v>15</v>
      </c>
      <c r="G6" t="s">
        <v>16</v>
      </c>
      <c r="H6" t="s">
        <v>2</v>
      </c>
      <c r="I6" t="s">
        <v>25</v>
      </c>
      <c r="J6" t="s">
        <v>14</v>
      </c>
      <c r="K6">
        <f>AVERAGE(D2,D4,D6,D8,D10,D12)</f>
        <v>24.899999999999995</v>
      </c>
      <c r="L6">
        <f>STDEV(D2,D4,D6,D8,D10,D12)/SQRT(6)</f>
        <v>0.78655366420014006</v>
      </c>
      <c r="M6">
        <f>K6-L6</f>
        <v>24.113446335799853</v>
      </c>
      <c r="N6">
        <f>K6+L6</f>
        <v>25.686553664200137</v>
      </c>
    </row>
    <row r="7" spans="1:14" x14ac:dyDescent="0.2">
      <c r="A7" t="s">
        <v>17</v>
      </c>
      <c r="B7" s="1">
        <v>45573</v>
      </c>
      <c r="C7" s="2">
        <v>0.66666666666666663</v>
      </c>
      <c r="D7">
        <v>27.2</v>
      </c>
      <c r="E7" t="s">
        <v>15</v>
      </c>
      <c r="F7" t="s">
        <v>15</v>
      </c>
      <c r="G7" t="s">
        <v>16</v>
      </c>
      <c r="H7" t="s">
        <v>5</v>
      </c>
      <c r="I7" t="s">
        <v>25</v>
      </c>
      <c r="J7" t="s">
        <v>17</v>
      </c>
      <c r="K7">
        <f>AVERAGE(D3,D5,D7,D9,D11,D13)</f>
        <v>25.583333333333332</v>
      </c>
      <c r="L7">
        <f>STDEV(D3,D5,D7,D9,D11,D13)/SQRT(6)</f>
        <v>0.80017359227718676</v>
      </c>
      <c r="M7">
        <f>K7-L7</f>
        <v>24.783159741056146</v>
      </c>
      <c r="N7">
        <f>K7+L7</f>
        <v>26.383506925610519</v>
      </c>
    </row>
    <row r="8" spans="1:14" x14ac:dyDescent="0.2">
      <c r="A8" t="s">
        <v>14</v>
      </c>
      <c r="B8" s="1">
        <v>45574</v>
      </c>
      <c r="C8" s="2">
        <v>0.66666666666666663</v>
      </c>
      <c r="D8">
        <v>27.4</v>
      </c>
      <c r="E8">
        <v>8.2899999999999991</v>
      </c>
      <c r="F8" t="s">
        <v>15</v>
      </c>
      <c r="G8" t="s">
        <v>16</v>
      </c>
      <c r="H8" t="s">
        <v>2</v>
      </c>
      <c r="I8" t="s">
        <v>25</v>
      </c>
    </row>
    <row r="9" spans="1:14" x14ac:dyDescent="0.2">
      <c r="A9" t="s">
        <v>17</v>
      </c>
      <c r="B9" s="1">
        <v>45574</v>
      </c>
      <c r="C9" s="2">
        <v>0.66666666666666663</v>
      </c>
      <c r="D9">
        <v>28.2</v>
      </c>
      <c r="E9">
        <v>8.32</v>
      </c>
      <c r="F9" t="s">
        <v>15</v>
      </c>
      <c r="G9" t="s">
        <v>16</v>
      </c>
      <c r="H9" t="s">
        <v>5</v>
      </c>
      <c r="I9" t="s">
        <v>25</v>
      </c>
      <c r="K9" t="s">
        <v>34</v>
      </c>
      <c r="L9" t="s">
        <v>35</v>
      </c>
      <c r="M9" t="s">
        <v>30</v>
      </c>
      <c r="N9" t="s">
        <v>31</v>
      </c>
    </row>
    <row r="10" spans="1:14" x14ac:dyDescent="0.2">
      <c r="A10" t="s">
        <v>14</v>
      </c>
      <c r="B10" s="1">
        <v>45574</v>
      </c>
      <c r="C10" s="2">
        <v>0.375</v>
      </c>
      <c r="D10">
        <v>23.6</v>
      </c>
      <c r="E10">
        <v>8.4</v>
      </c>
      <c r="F10" t="s">
        <v>15</v>
      </c>
      <c r="G10" t="s">
        <v>1</v>
      </c>
      <c r="H10" t="s">
        <v>2</v>
      </c>
      <c r="I10" t="s">
        <v>25</v>
      </c>
      <c r="J10" t="s">
        <v>14</v>
      </c>
      <c r="K10">
        <f>AVERAGE(E2,E4,E8,E10,E12)</f>
        <v>8.2579999999999991</v>
      </c>
      <c r="L10">
        <f>STDEV(E2,E4,E8,E10,E12)/SQRT(5)</f>
        <v>5.342284155677228E-2</v>
      </c>
      <c r="M10">
        <f>K10-L10</f>
        <v>8.204577158443227</v>
      </c>
      <c r="N10">
        <f>K10+L10</f>
        <v>8.3114228415567712</v>
      </c>
    </row>
    <row r="11" spans="1:14" x14ac:dyDescent="0.2">
      <c r="A11" t="s">
        <v>17</v>
      </c>
      <c r="B11" s="1">
        <v>45574</v>
      </c>
      <c r="C11" s="2">
        <v>0.375</v>
      </c>
      <c r="D11">
        <v>25.4</v>
      </c>
      <c r="E11">
        <v>8.42</v>
      </c>
      <c r="F11" t="s">
        <v>15</v>
      </c>
      <c r="G11" t="s">
        <v>1</v>
      </c>
      <c r="H11" t="s">
        <v>5</v>
      </c>
      <c r="I11" t="s">
        <v>25</v>
      </c>
      <c r="J11" t="s">
        <v>17</v>
      </c>
      <c r="K11">
        <f>AVERAGE(E3,E5,E9,E11,E13)</f>
        <v>8.2540000000000013</v>
      </c>
      <c r="L11">
        <f>STDEV(E3,E5,E9,E11,E13)/SQRT(5)</f>
        <v>6.0299253726725295E-2</v>
      </c>
      <c r="M11">
        <f>K11-L11</f>
        <v>8.1937007462732758</v>
      </c>
      <c r="N11">
        <f>K11+L11</f>
        <v>8.3142992537267268</v>
      </c>
    </row>
    <row r="12" spans="1:14" x14ac:dyDescent="0.2">
      <c r="A12" t="s">
        <v>14</v>
      </c>
      <c r="B12" s="1">
        <v>45575</v>
      </c>
      <c r="C12" s="2">
        <v>0.35416666666666669</v>
      </c>
      <c r="D12">
        <v>23.2</v>
      </c>
      <c r="E12">
        <v>8.07</v>
      </c>
      <c r="F12">
        <v>30.9</v>
      </c>
      <c r="G12" t="s">
        <v>1</v>
      </c>
      <c r="H12" t="s">
        <v>2</v>
      </c>
      <c r="I12" t="s">
        <v>25</v>
      </c>
    </row>
    <row r="13" spans="1:14" x14ac:dyDescent="0.2">
      <c r="A13" t="s">
        <v>17</v>
      </c>
      <c r="B13" s="1">
        <v>45575</v>
      </c>
      <c r="C13" s="2">
        <v>0.35416666666666669</v>
      </c>
      <c r="D13">
        <v>23.2</v>
      </c>
      <c r="E13">
        <v>8.06</v>
      </c>
      <c r="F13">
        <v>30.97</v>
      </c>
      <c r="G13" t="s">
        <v>1</v>
      </c>
      <c r="H13" t="s">
        <v>5</v>
      </c>
      <c r="I13" t="s">
        <v>25</v>
      </c>
    </row>
    <row r="14" spans="1:14" x14ac:dyDescent="0.2">
      <c r="A14" t="s">
        <v>18</v>
      </c>
      <c r="B14" s="1">
        <v>45575</v>
      </c>
      <c r="C14" s="2">
        <v>0.4375</v>
      </c>
      <c r="D14">
        <v>30.5</v>
      </c>
      <c r="E14">
        <v>7.85</v>
      </c>
      <c r="F14">
        <v>30.89</v>
      </c>
      <c r="G14" t="s">
        <v>1</v>
      </c>
      <c r="H14" t="s">
        <v>2</v>
      </c>
      <c r="I14" t="s">
        <v>25</v>
      </c>
    </row>
    <row r="15" spans="1:14" x14ac:dyDescent="0.2">
      <c r="A15" t="s">
        <v>19</v>
      </c>
      <c r="B15" s="1">
        <v>45575</v>
      </c>
      <c r="C15" s="2">
        <v>0.4375</v>
      </c>
      <c r="D15">
        <v>30.7</v>
      </c>
      <c r="E15">
        <v>7.84</v>
      </c>
      <c r="F15">
        <v>30.92</v>
      </c>
      <c r="G15" t="s">
        <v>1</v>
      </c>
      <c r="H15" t="s">
        <v>2</v>
      </c>
      <c r="I15" t="s">
        <v>25</v>
      </c>
    </row>
    <row r="16" spans="1:14" x14ac:dyDescent="0.2">
      <c r="A16" t="s">
        <v>20</v>
      </c>
      <c r="B16" s="1">
        <v>45575</v>
      </c>
      <c r="C16" s="2">
        <v>0.4375</v>
      </c>
      <c r="D16">
        <v>29.9</v>
      </c>
      <c r="E16">
        <v>7.81</v>
      </c>
      <c r="F16">
        <v>30.99</v>
      </c>
      <c r="G16" t="s">
        <v>1</v>
      </c>
      <c r="H16" t="s">
        <v>2</v>
      </c>
      <c r="I16" t="s">
        <v>25</v>
      </c>
    </row>
    <row r="17" spans="1:9" x14ac:dyDescent="0.2">
      <c r="A17" t="s">
        <v>21</v>
      </c>
      <c r="B17" s="1">
        <v>45575</v>
      </c>
      <c r="C17" s="2">
        <v>0.4375</v>
      </c>
      <c r="D17">
        <v>29.9</v>
      </c>
      <c r="E17">
        <v>7.81</v>
      </c>
      <c r="F17">
        <v>31</v>
      </c>
      <c r="G17" t="s">
        <v>1</v>
      </c>
      <c r="H17" t="s">
        <v>5</v>
      </c>
      <c r="I17" t="s">
        <v>25</v>
      </c>
    </row>
    <row r="18" spans="1:9" x14ac:dyDescent="0.2">
      <c r="A18" t="s">
        <v>22</v>
      </c>
      <c r="B18" s="1">
        <v>45575</v>
      </c>
      <c r="C18" s="2">
        <v>0.4375</v>
      </c>
      <c r="D18">
        <v>29.5</v>
      </c>
      <c r="E18">
        <v>7.85</v>
      </c>
      <c r="F18">
        <v>30.84</v>
      </c>
      <c r="G18" t="s">
        <v>1</v>
      </c>
      <c r="H18" t="s">
        <v>5</v>
      </c>
      <c r="I18" t="s">
        <v>25</v>
      </c>
    </row>
    <row r="19" spans="1:9" x14ac:dyDescent="0.2">
      <c r="A19" t="s">
        <v>18</v>
      </c>
      <c r="B19" s="1">
        <v>45580</v>
      </c>
      <c r="C19" s="2">
        <v>0.35416666666666669</v>
      </c>
      <c r="D19">
        <v>28</v>
      </c>
      <c r="E19">
        <v>7.83</v>
      </c>
      <c r="F19">
        <v>31.01</v>
      </c>
      <c r="G19" t="s">
        <v>1</v>
      </c>
      <c r="H19" t="s">
        <v>2</v>
      </c>
      <c r="I19" t="s">
        <v>26</v>
      </c>
    </row>
    <row r="20" spans="1:9" x14ac:dyDescent="0.2">
      <c r="A20" t="s">
        <v>19</v>
      </c>
      <c r="B20" s="1">
        <v>45580</v>
      </c>
      <c r="C20" s="2">
        <v>0.35416666666666669</v>
      </c>
      <c r="D20">
        <v>28.2</v>
      </c>
      <c r="E20">
        <v>7.8</v>
      </c>
      <c r="F20">
        <v>31.1</v>
      </c>
      <c r="G20" t="s">
        <v>1</v>
      </c>
      <c r="H20" t="s">
        <v>2</v>
      </c>
      <c r="I20" t="s">
        <v>26</v>
      </c>
    </row>
    <row r="21" spans="1:9" x14ac:dyDescent="0.2">
      <c r="A21" t="s">
        <v>20</v>
      </c>
      <c r="B21" s="1">
        <v>45580</v>
      </c>
      <c r="C21" s="2">
        <v>0.35416666666666669</v>
      </c>
      <c r="D21">
        <v>28.2</v>
      </c>
      <c r="E21">
        <v>7.8</v>
      </c>
      <c r="F21">
        <v>31.04</v>
      </c>
      <c r="G21" t="s">
        <v>1</v>
      </c>
      <c r="H21" t="s">
        <v>2</v>
      </c>
      <c r="I21" t="s">
        <v>26</v>
      </c>
    </row>
    <row r="22" spans="1:9" x14ac:dyDescent="0.2">
      <c r="A22" t="s">
        <v>21</v>
      </c>
      <c r="B22" s="1">
        <v>45580</v>
      </c>
      <c r="C22" s="2">
        <v>0.35416666666666669</v>
      </c>
      <c r="D22">
        <v>28.3</v>
      </c>
      <c r="E22">
        <v>7.8</v>
      </c>
      <c r="F22">
        <v>30.99</v>
      </c>
      <c r="G22" t="s">
        <v>1</v>
      </c>
      <c r="H22" t="s">
        <v>5</v>
      </c>
      <c r="I22" t="s">
        <v>26</v>
      </c>
    </row>
    <row r="23" spans="1:9" x14ac:dyDescent="0.2">
      <c r="A23" t="s">
        <v>22</v>
      </c>
      <c r="B23" s="1">
        <v>45580</v>
      </c>
      <c r="C23" s="2">
        <v>0.35416666666666669</v>
      </c>
      <c r="D23">
        <v>28.2</v>
      </c>
      <c r="E23">
        <v>7.81</v>
      </c>
      <c r="F23">
        <v>31.05</v>
      </c>
      <c r="G23" t="s">
        <v>1</v>
      </c>
      <c r="H23" t="s">
        <v>5</v>
      </c>
      <c r="I23" t="s">
        <v>26</v>
      </c>
    </row>
    <row r="24" spans="1:9" x14ac:dyDescent="0.2">
      <c r="A24" t="s">
        <v>18</v>
      </c>
      <c r="B24" s="1">
        <v>45576</v>
      </c>
      <c r="C24" s="2">
        <v>0.375</v>
      </c>
      <c r="D24">
        <v>27.6</v>
      </c>
      <c r="E24">
        <v>8.36</v>
      </c>
      <c r="F24" t="s">
        <v>15</v>
      </c>
      <c r="G24" t="s">
        <v>16</v>
      </c>
      <c r="H24" t="s">
        <v>2</v>
      </c>
      <c r="I24" t="s">
        <v>26</v>
      </c>
    </row>
    <row r="25" spans="1:9" x14ac:dyDescent="0.2">
      <c r="A25" t="s">
        <v>19</v>
      </c>
      <c r="B25" s="1">
        <v>45576</v>
      </c>
      <c r="C25" s="2">
        <v>0.375</v>
      </c>
      <c r="D25">
        <v>27.8</v>
      </c>
      <c r="E25">
        <v>8.35</v>
      </c>
      <c r="F25" t="s">
        <v>15</v>
      </c>
      <c r="G25" t="s">
        <v>16</v>
      </c>
      <c r="H25" t="s">
        <v>2</v>
      </c>
      <c r="I25" t="s">
        <v>26</v>
      </c>
    </row>
    <row r="26" spans="1:9" x14ac:dyDescent="0.2">
      <c r="A26" t="s">
        <v>20</v>
      </c>
      <c r="B26" s="1">
        <v>45576</v>
      </c>
      <c r="C26" s="2">
        <v>0.375</v>
      </c>
      <c r="D26">
        <v>27.2</v>
      </c>
      <c r="E26">
        <v>8.34</v>
      </c>
      <c r="F26" t="s">
        <v>15</v>
      </c>
      <c r="G26" t="s">
        <v>16</v>
      </c>
      <c r="H26" t="s">
        <v>2</v>
      </c>
      <c r="I26" t="s">
        <v>26</v>
      </c>
    </row>
    <row r="27" spans="1:9" x14ac:dyDescent="0.2">
      <c r="A27" t="s">
        <v>21</v>
      </c>
      <c r="B27" s="1">
        <v>45576</v>
      </c>
      <c r="C27" s="2">
        <v>0.375</v>
      </c>
      <c r="D27">
        <v>27.4</v>
      </c>
      <c r="E27">
        <v>8.33</v>
      </c>
      <c r="F27" t="s">
        <v>15</v>
      </c>
      <c r="G27" t="s">
        <v>16</v>
      </c>
      <c r="H27" t="s">
        <v>5</v>
      </c>
      <c r="I27" t="s">
        <v>26</v>
      </c>
    </row>
    <row r="28" spans="1:9" x14ac:dyDescent="0.2">
      <c r="A28" t="s">
        <v>22</v>
      </c>
      <c r="B28" s="1">
        <v>45576</v>
      </c>
      <c r="C28" s="2">
        <v>0.375</v>
      </c>
      <c r="D28">
        <v>27.5</v>
      </c>
      <c r="E28">
        <v>8.34</v>
      </c>
      <c r="F28" t="s">
        <v>15</v>
      </c>
      <c r="G28" t="s">
        <v>16</v>
      </c>
      <c r="H28" t="s">
        <v>5</v>
      </c>
      <c r="I28" t="s">
        <v>26</v>
      </c>
    </row>
    <row r="29" spans="1:9" x14ac:dyDescent="0.2">
      <c r="A29" t="s">
        <v>18</v>
      </c>
      <c r="B29" s="1">
        <v>45577</v>
      </c>
      <c r="C29" s="2">
        <v>0.375</v>
      </c>
      <c r="D29">
        <v>27.4</v>
      </c>
      <c r="E29">
        <v>8.27</v>
      </c>
      <c r="F29" t="s">
        <v>15</v>
      </c>
      <c r="G29" t="s">
        <v>16</v>
      </c>
      <c r="H29" t="s">
        <v>2</v>
      </c>
      <c r="I29" t="s">
        <v>26</v>
      </c>
    </row>
    <row r="30" spans="1:9" x14ac:dyDescent="0.2">
      <c r="A30" t="s">
        <v>19</v>
      </c>
      <c r="B30" s="1">
        <v>45577</v>
      </c>
      <c r="C30" s="2">
        <v>0.375</v>
      </c>
      <c r="D30">
        <v>27.9</v>
      </c>
      <c r="E30">
        <v>8.27</v>
      </c>
      <c r="F30" t="s">
        <v>15</v>
      </c>
      <c r="G30" t="s">
        <v>16</v>
      </c>
      <c r="H30" t="s">
        <v>2</v>
      </c>
      <c r="I30" t="s">
        <v>26</v>
      </c>
    </row>
    <row r="31" spans="1:9" x14ac:dyDescent="0.2">
      <c r="A31" t="s">
        <v>20</v>
      </c>
      <c r="B31" s="1">
        <v>45577</v>
      </c>
      <c r="C31" s="2">
        <v>0.375</v>
      </c>
      <c r="D31">
        <v>27.6</v>
      </c>
      <c r="E31">
        <v>8.26</v>
      </c>
      <c r="F31" t="s">
        <v>15</v>
      </c>
      <c r="G31" t="s">
        <v>16</v>
      </c>
      <c r="H31" t="s">
        <v>2</v>
      </c>
      <c r="I31" t="s">
        <v>26</v>
      </c>
    </row>
    <row r="32" spans="1:9" x14ac:dyDescent="0.2">
      <c r="A32" t="s">
        <v>21</v>
      </c>
      <c r="B32" s="1">
        <v>45577</v>
      </c>
      <c r="C32" s="2">
        <v>0.375</v>
      </c>
      <c r="D32">
        <v>27.4</v>
      </c>
      <c r="E32">
        <v>8.25</v>
      </c>
      <c r="F32" t="s">
        <v>15</v>
      </c>
      <c r="G32" t="s">
        <v>16</v>
      </c>
      <c r="H32" t="s">
        <v>5</v>
      </c>
      <c r="I32" t="s">
        <v>26</v>
      </c>
    </row>
    <row r="33" spans="1:9" x14ac:dyDescent="0.2">
      <c r="A33" t="s">
        <v>22</v>
      </c>
      <c r="B33" s="1">
        <v>45577</v>
      </c>
      <c r="C33" s="2">
        <v>0.375</v>
      </c>
      <c r="D33">
        <v>27.6</v>
      </c>
      <c r="E33">
        <v>8.24</v>
      </c>
      <c r="F33" t="s">
        <v>15</v>
      </c>
      <c r="G33" t="s">
        <v>16</v>
      </c>
      <c r="H33" t="s">
        <v>5</v>
      </c>
      <c r="I33" t="s">
        <v>26</v>
      </c>
    </row>
    <row r="34" spans="1:9" x14ac:dyDescent="0.2">
      <c r="A34" t="s">
        <v>18</v>
      </c>
      <c r="B34" s="1">
        <v>45578</v>
      </c>
      <c r="C34" s="2">
        <v>0.375</v>
      </c>
      <c r="D34">
        <v>28.2</v>
      </c>
      <c r="E34">
        <v>8.23</v>
      </c>
      <c r="F34" t="s">
        <v>15</v>
      </c>
      <c r="G34" t="s">
        <v>16</v>
      </c>
      <c r="H34" t="s">
        <v>2</v>
      </c>
      <c r="I34" t="s">
        <v>26</v>
      </c>
    </row>
    <row r="35" spans="1:9" x14ac:dyDescent="0.2">
      <c r="A35" t="s">
        <v>19</v>
      </c>
      <c r="B35" s="1">
        <v>45578</v>
      </c>
      <c r="C35" s="2">
        <v>0.375</v>
      </c>
      <c r="D35">
        <v>28</v>
      </c>
      <c r="E35">
        <v>8.24</v>
      </c>
      <c r="F35" t="s">
        <v>15</v>
      </c>
      <c r="G35" t="s">
        <v>16</v>
      </c>
      <c r="H35" t="s">
        <v>2</v>
      </c>
      <c r="I35" t="s">
        <v>26</v>
      </c>
    </row>
    <row r="36" spans="1:9" x14ac:dyDescent="0.2">
      <c r="A36" t="s">
        <v>20</v>
      </c>
      <c r="B36" s="1">
        <v>45578</v>
      </c>
      <c r="C36" s="2">
        <v>0.375</v>
      </c>
      <c r="D36">
        <v>27.6</v>
      </c>
      <c r="E36">
        <v>8.2200000000000006</v>
      </c>
      <c r="F36" t="s">
        <v>15</v>
      </c>
      <c r="G36" t="s">
        <v>16</v>
      </c>
      <c r="H36" t="s">
        <v>2</v>
      </c>
      <c r="I36" t="s">
        <v>26</v>
      </c>
    </row>
    <row r="37" spans="1:9" x14ac:dyDescent="0.2">
      <c r="A37" t="s">
        <v>21</v>
      </c>
      <c r="B37" s="1">
        <v>45578</v>
      </c>
      <c r="C37" s="2">
        <v>0.375</v>
      </c>
      <c r="D37">
        <v>27.5</v>
      </c>
      <c r="E37">
        <v>8.2100000000000009</v>
      </c>
      <c r="F37" t="s">
        <v>15</v>
      </c>
      <c r="G37" t="s">
        <v>16</v>
      </c>
      <c r="H37" t="s">
        <v>5</v>
      </c>
      <c r="I37" t="s">
        <v>26</v>
      </c>
    </row>
    <row r="38" spans="1:9" x14ac:dyDescent="0.2">
      <c r="A38" t="s">
        <v>22</v>
      </c>
      <c r="B38" s="1">
        <v>45578</v>
      </c>
      <c r="C38" s="2">
        <v>0.375</v>
      </c>
      <c r="D38">
        <v>27.8</v>
      </c>
      <c r="E38">
        <v>8.25</v>
      </c>
      <c r="F38" t="s">
        <v>15</v>
      </c>
      <c r="G38" t="s">
        <v>16</v>
      </c>
      <c r="H38" t="s">
        <v>5</v>
      </c>
      <c r="I38" t="s">
        <v>26</v>
      </c>
    </row>
    <row r="39" spans="1:9" x14ac:dyDescent="0.2">
      <c r="A39" t="s">
        <v>18</v>
      </c>
      <c r="B39" s="1">
        <v>45579</v>
      </c>
      <c r="C39" s="2">
        <v>0.375</v>
      </c>
      <c r="D39">
        <v>29.2</v>
      </c>
      <c r="E39">
        <v>8.2100000000000009</v>
      </c>
      <c r="F39" t="s">
        <v>15</v>
      </c>
      <c r="G39" t="s">
        <v>16</v>
      </c>
      <c r="H39" t="s">
        <v>2</v>
      </c>
      <c r="I39" t="s">
        <v>26</v>
      </c>
    </row>
    <row r="40" spans="1:9" x14ac:dyDescent="0.2">
      <c r="A40" t="s">
        <v>19</v>
      </c>
      <c r="B40" s="1">
        <v>45579</v>
      </c>
      <c r="C40" s="2">
        <v>0.375</v>
      </c>
      <c r="D40">
        <v>29.4</v>
      </c>
      <c r="E40">
        <v>8.1999999999999993</v>
      </c>
      <c r="F40" t="s">
        <v>15</v>
      </c>
      <c r="G40" t="s">
        <v>16</v>
      </c>
      <c r="H40" t="s">
        <v>2</v>
      </c>
      <c r="I40" t="s">
        <v>26</v>
      </c>
    </row>
    <row r="41" spans="1:9" x14ac:dyDescent="0.2">
      <c r="A41" t="s">
        <v>20</v>
      </c>
      <c r="B41" s="1">
        <v>45579</v>
      </c>
      <c r="C41" s="2">
        <v>0.375</v>
      </c>
      <c r="D41">
        <v>29.1</v>
      </c>
      <c r="E41">
        <v>8.1999999999999993</v>
      </c>
      <c r="F41" t="s">
        <v>15</v>
      </c>
      <c r="G41" t="s">
        <v>16</v>
      </c>
      <c r="H41" t="s">
        <v>2</v>
      </c>
      <c r="I41" t="s">
        <v>26</v>
      </c>
    </row>
    <row r="42" spans="1:9" x14ac:dyDescent="0.2">
      <c r="A42" t="s">
        <v>21</v>
      </c>
      <c r="B42" s="1">
        <v>45579</v>
      </c>
      <c r="C42" s="2">
        <v>0.375</v>
      </c>
      <c r="D42">
        <v>29.1</v>
      </c>
      <c r="E42">
        <v>8.17</v>
      </c>
      <c r="F42" t="s">
        <v>15</v>
      </c>
      <c r="G42" t="s">
        <v>16</v>
      </c>
      <c r="H42" t="s">
        <v>5</v>
      </c>
      <c r="I42" t="s">
        <v>26</v>
      </c>
    </row>
    <row r="43" spans="1:9" x14ac:dyDescent="0.2">
      <c r="A43" t="s">
        <v>22</v>
      </c>
      <c r="B43" s="1">
        <v>45579</v>
      </c>
      <c r="C43" s="2">
        <v>0.375</v>
      </c>
      <c r="D43">
        <v>29.1</v>
      </c>
      <c r="E43">
        <v>8.1999999999999993</v>
      </c>
      <c r="F43" t="s">
        <v>15</v>
      </c>
      <c r="G43" t="s">
        <v>16</v>
      </c>
      <c r="H43" t="s">
        <v>5</v>
      </c>
      <c r="I43" t="s">
        <v>26</v>
      </c>
    </row>
    <row r="44" spans="1:9" x14ac:dyDescent="0.2">
      <c r="A44" t="s">
        <v>18</v>
      </c>
      <c r="B44" s="1">
        <v>45580</v>
      </c>
      <c r="C44" s="2">
        <v>0.375</v>
      </c>
      <c r="D44">
        <v>30.6</v>
      </c>
      <c r="E44">
        <v>8.1</v>
      </c>
      <c r="F44" t="s">
        <v>15</v>
      </c>
      <c r="G44" t="s">
        <v>16</v>
      </c>
      <c r="H44" t="s">
        <v>5</v>
      </c>
      <c r="I44" t="s">
        <v>26</v>
      </c>
    </row>
    <row r="45" spans="1:9" x14ac:dyDescent="0.2">
      <c r="A45" t="s">
        <v>19</v>
      </c>
      <c r="B45" s="1">
        <v>45580</v>
      </c>
      <c r="C45" s="2">
        <v>0.375</v>
      </c>
      <c r="D45">
        <v>30.8</v>
      </c>
      <c r="E45">
        <v>8.1</v>
      </c>
      <c r="F45" t="s">
        <v>15</v>
      </c>
      <c r="G45" t="s">
        <v>16</v>
      </c>
      <c r="H45" t="s">
        <v>5</v>
      </c>
      <c r="I45" t="s">
        <v>26</v>
      </c>
    </row>
    <row r="46" spans="1:9" x14ac:dyDescent="0.2">
      <c r="A46" t="s">
        <v>20</v>
      </c>
      <c r="B46" s="1">
        <v>45580</v>
      </c>
      <c r="C46" s="2">
        <v>0.375</v>
      </c>
      <c r="D46">
        <v>30.8</v>
      </c>
      <c r="E46">
        <v>8.09</v>
      </c>
      <c r="F46" t="s">
        <v>15</v>
      </c>
      <c r="G46" t="s">
        <v>16</v>
      </c>
      <c r="H46" t="s">
        <v>2</v>
      </c>
      <c r="I46" t="s">
        <v>26</v>
      </c>
    </row>
    <row r="47" spans="1:9" x14ac:dyDescent="0.2">
      <c r="A47" t="s">
        <v>22</v>
      </c>
      <c r="B47" s="1">
        <v>45580</v>
      </c>
      <c r="C47" s="2">
        <v>0.375</v>
      </c>
      <c r="D47">
        <v>30.8</v>
      </c>
      <c r="E47">
        <v>8.11</v>
      </c>
      <c r="F47" t="s">
        <v>15</v>
      </c>
      <c r="G47" t="s">
        <v>16</v>
      </c>
      <c r="H47" t="s">
        <v>2</v>
      </c>
      <c r="I47" t="s">
        <v>26</v>
      </c>
    </row>
    <row r="48" spans="1:9" x14ac:dyDescent="0.2">
      <c r="A48" t="s">
        <v>23</v>
      </c>
      <c r="B48" s="1">
        <v>45580</v>
      </c>
      <c r="C48" s="2">
        <v>0.375</v>
      </c>
      <c r="D48">
        <v>30.6</v>
      </c>
      <c r="E48">
        <v>8.1199999999999992</v>
      </c>
      <c r="F48" t="s">
        <v>15</v>
      </c>
      <c r="G48" t="s">
        <v>16</v>
      </c>
      <c r="H48" t="s">
        <v>2</v>
      </c>
      <c r="I48" t="s">
        <v>26</v>
      </c>
    </row>
    <row r="49" spans="1:9" x14ac:dyDescent="0.2">
      <c r="A49" t="s">
        <v>18</v>
      </c>
      <c r="B49" s="1">
        <v>45581</v>
      </c>
      <c r="C49" s="2">
        <v>0.375</v>
      </c>
      <c r="D49">
        <v>28.8</v>
      </c>
      <c r="E49">
        <v>8.2100000000000009</v>
      </c>
      <c r="F49" t="s">
        <v>15</v>
      </c>
      <c r="G49" t="s">
        <v>16</v>
      </c>
      <c r="H49" t="s">
        <v>5</v>
      </c>
      <c r="I49" t="s">
        <v>27</v>
      </c>
    </row>
    <row r="50" spans="1:9" x14ac:dyDescent="0.2">
      <c r="A50" t="s">
        <v>19</v>
      </c>
      <c r="B50" s="1">
        <v>45581</v>
      </c>
      <c r="C50" s="2">
        <v>0.375</v>
      </c>
      <c r="D50">
        <v>29</v>
      </c>
      <c r="E50">
        <v>8.19</v>
      </c>
      <c r="F50" t="s">
        <v>15</v>
      </c>
      <c r="G50" t="s">
        <v>16</v>
      </c>
      <c r="H50" t="s">
        <v>5</v>
      </c>
      <c r="I50" t="s">
        <v>27</v>
      </c>
    </row>
    <row r="51" spans="1:9" x14ac:dyDescent="0.2">
      <c r="A51" t="s">
        <v>20</v>
      </c>
      <c r="B51" s="1">
        <v>45581</v>
      </c>
      <c r="C51" s="2">
        <v>0.375</v>
      </c>
      <c r="D51">
        <v>28.5</v>
      </c>
      <c r="E51">
        <v>8.19</v>
      </c>
      <c r="F51" t="s">
        <v>15</v>
      </c>
      <c r="G51" t="s">
        <v>16</v>
      </c>
      <c r="H51" t="s">
        <v>2</v>
      </c>
      <c r="I51" t="s">
        <v>27</v>
      </c>
    </row>
    <row r="52" spans="1:9" x14ac:dyDescent="0.2">
      <c r="A52" t="s">
        <v>22</v>
      </c>
      <c r="B52" s="1">
        <v>45581</v>
      </c>
      <c r="C52" s="2">
        <v>0.375</v>
      </c>
      <c r="D52">
        <v>28.7</v>
      </c>
      <c r="E52">
        <v>8.2100000000000009</v>
      </c>
      <c r="F52" t="s">
        <v>15</v>
      </c>
      <c r="G52" t="s">
        <v>16</v>
      </c>
      <c r="H52" t="s">
        <v>2</v>
      </c>
      <c r="I52" t="s">
        <v>27</v>
      </c>
    </row>
    <row r="53" spans="1:9" x14ac:dyDescent="0.2">
      <c r="A53" t="s">
        <v>23</v>
      </c>
      <c r="B53" s="1">
        <v>45581</v>
      </c>
      <c r="C53" s="2">
        <v>0.375</v>
      </c>
      <c r="D53">
        <v>28.4</v>
      </c>
      <c r="E53">
        <v>8.2100000000000009</v>
      </c>
      <c r="F53" t="s">
        <v>15</v>
      </c>
      <c r="G53" t="s">
        <v>16</v>
      </c>
      <c r="H53" t="s">
        <v>2</v>
      </c>
      <c r="I53" t="s">
        <v>27</v>
      </c>
    </row>
    <row r="54" spans="1:9" x14ac:dyDescent="0.2">
      <c r="A54" t="s">
        <v>18</v>
      </c>
      <c r="B54" s="1">
        <v>45582</v>
      </c>
      <c r="C54" s="2">
        <v>0.375</v>
      </c>
      <c r="D54">
        <v>28.7</v>
      </c>
      <c r="E54">
        <v>8.2200000000000006</v>
      </c>
      <c r="F54" t="s">
        <v>15</v>
      </c>
      <c r="G54" t="s">
        <v>16</v>
      </c>
      <c r="H54" t="s">
        <v>5</v>
      </c>
      <c r="I54" t="s">
        <v>27</v>
      </c>
    </row>
    <row r="55" spans="1:9" x14ac:dyDescent="0.2">
      <c r="A55" t="s">
        <v>19</v>
      </c>
      <c r="B55" s="1">
        <v>45582</v>
      </c>
      <c r="C55" s="2">
        <v>0.375</v>
      </c>
      <c r="D55">
        <v>29</v>
      </c>
      <c r="E55">
        <v>8.1999999999999993</v>
      </c>
      <c r="F55" t="s">
        <v>15</v>
      </c>
      <c r="G55" t="s">
        <v>16</v>
      </c>
      <c r="H55" t="s">
        <v>5</v>
      </c>
      <c r="I55" t="s">
        <v>27</v>
      </c>
    </row>
    <row r="56" spans="1:9" x14ac:dyDescent="0.2">
      <c r="A56" t="s">
        <v>20</v>
      </c>
      <c r="B56" s="1">
        <v>45582</v>
      </c>
      <c r="C56" s="2">
        <v>0.375</v>
      </c>
      <c r="D56">
        <v>28.4</v>
      </c>
      <c r="E56">
        <v>8.18</v>
      </c>
      <c r="F56" t="s">
        <v>15</v>
      </c>
      <c r="G56" t="s">
        <v>16</v>
      </c>
      <c r="H56" t="s">
        <v>2</v>
      </c>
      <c r="I56" t="s">
        <v>27</v>
      </c>
    </row>
    <row r="57" spans="1:9" x14ac:dyDescent="0.2">
      <c r="A57" t="s">
        <v>22</v>
      </c>
      <c r="B57" s="1">
        <v>45582</v>
      </c>
      <c r="C57" s="2">
        <v>0.375</v>
      </c>
      <c r="D57">
        <v>28.6</v>
      </c>
      <c r="E57">
        <v>8.1999999999999993</v>
      </c>
      <c r="F57" t="s">
        <v>15</v>
      </c>
      <c r="G57" t="s">
        <v>16</v>
      </c>
      <c r="H57" t="s">
        <v>2</v>
      </c>
      <c r="I57" t="s">
        <v>27</v>
      </c>
    </row>
    <row r="58" spans="1:9" x14ac:dyDescent="0.2">
      <c r="A58" t="s">
        <v>23</v>
      </c>
      <c r="B58" s="1">
        <v>45582</v>
      </c>
      <c r="C58" s="2">
        <v>0.375</v>
      </c>
      <c r="D58">
        <v>28.1</v>
      </c>
      <c r="E58">
        <v>8.19</v>
      </c>
      <c r="F58" t="s">
        <v>15</v>
      </c>
      <c r="G58" t="s">
        <v>16</v>
      </c>
      <c r="H58" t="s">
        <v>2</v>
      </c>
      <c r="I58" t="s">
        <v>27</v>
      </c>
    </row>
    <row r="59" spans="1:9" x14ac:dyDescent="0.2">
      <c r="A59" t="s">
        <v>18</v>
      </c>
      <c r="B59" s="1">
        <v>45583</v>
      </c>
      <c r="C59" s="2">
        <v>0.375</v>
      </c>
      <c r="D59">
        <v>28.7</v>
      </c>
      <c r="E59">
        <v>8.1</v>
      </c>
      <c r="F59" t="s">
        <v>15</v>
      </c>
      <c r="G59" t="s">
        <v>16</v>
      </c>
      <c r="H59" t="s">
        <v>5</v>
      </c>
      <c r="I59" t="s">
        <v>27</v>
      </c>
    </row>
    <row r="60" spans="1:9" x14ac:dyDescent="0.2">
      <c r="A60" t="s">
        <v>19</v>
      </c>
      <c r="B60" s="1">
        <v>45583</v>
      </c>
      <c r="C60" s="2">
        <v>0.375</v>
      </c>
      <c r="D60">
        <v>29</v>
      </c>
      <c r="E60">
        <v>8.11</v>
      </c>
      <c r="F60" t="s">
        <v>15</v>
      </c>
      <c r="G60" t="s">
        <v>16</v>
      </c>
      <c r="H60" t="s">
        <v>5</v>
      </c>
      <c r="I60" t="s">
        <v>27</v>
      </c>
    </row>
    <row r="61" spans="1:9" x14ac:dyDescent="0.2">
      <c r="A61" t="s">
        <v>20</v>
      </c>
      <c r="B61" s="1">
        <v>45583</v>
      </c>
      <c r="C61" s="2">
        <v>0.375</v>
      </c>
      <c r="D61">
        <v>28.3</v>
      </c>
      <c r="E61">
        <v>8.11</v>
      </c>
      <c r="F61" t="s">
        <v>15</v>
      </c>
      <c r="G61" t="s">
        <v>16</v>
      </c>
      <c r="H61" t="s">
        <v>2</v>
      </c>
      <c r="I61" t="s">
        <v>27</v>
      </c>
    </row>
    <row r="62" spans="1:9" x14ac:dyDescent="0.2">
      <c r="A62" t="s">
        <v>22</v>
      </c>
      <c r="B62" s="1">
        <v>45583</v>
      </c>
      <c r="C62" s="2">
        <v>0.375</v>
      </c>
      <c r="D62">
        <v>28.4</v>
      </c>
      <c r="E62">
        <v>8.14</v>
      </c>
      <c r="F62" t="s">
        <v>15</v>
      </c>
      <c r="G62" t="s">
        <v>16</v>
      </c>
      <c r="H62" t="s">
        <v>2</v>
      </c>
      <c r="I62" t="s">
        <v>27</v>
      </c>
    </row>
    <row r="63" spans="1:9" x14ac:dyDescent="0.2">
      <c r="A63" t="s">
        <v>23</v>
      </c>
      <c r="B63" s="1">
        <v>45583</v>
      </c>
      <c r="C63" s="2">
        <v>0.375</v>
      </c>
      <c r="D63">
        <v>28</v>
      </c>
      <c r="E63">
        <v>8.14</v>
      </c>
      <c r="F63" t="s">
        <v>15</v>
      </c>
      <c r="G63" t="s">
        <v>16</v>
      </c>
      <c r="H63" t="s">
        <v>2</v>
      </c>
      <c r="I63" t="s">
        <v>27</v>
      </c>
    </row>
    <row r="64" spans="1:9" x14ac:dyDescent="0.2">
      <c r="A64" t="s">
        <v>18</v>
      </c>
      <c r="B64" s="1">
        <v>45584</v>
      </c>
      <c r="C64" s="2">
        <v>0.375</v>
      </c>
      <c r="D64">
        <v>28.6</v>
      </c>
      <c r="E64">
        <v>8.1300000000000008</v>
      </c>
      <c r="F64" t="s">
        <v>15</v>
      </c>
      <c r="G64" t="s">
        <v>16</v>
      </c>
      <c r="H64" t="s">
        <v>5</v>
      </c>
      <c r="I64" t="s">
        <v>27</v>
      </c>
    </row>
    <row r="65" spans="1:9" x14ac:dyDescent="0.2">
      <c r="A65" t="s">
        <v>19</v>
      </c>
      <c r="B65" s="1">
        <v>45584</v>
      </c>
      <c r="C65" s="2">
        <v>0.375</v>
      </c>
      <c r="D65">
        <v>28.8</v>
      </c>
      <c r="E65">
        <v>8.1</v>
      </c>
      <c r="F65" t="s">
        <v>15</v>
      </c>
      <c r="G65" t="s">
        <v>16</v>
      </c>
      <c r="H65" t="s">
        <v>5</v>
      </c>
      <c r="I65" t="s">
        <v>27</v>
      </c>
    </row>
    <row r="66" spans="1:9" x14ac:dyDescent="0.2">
      <c r="A66" t="s">
        <v>20</v>
      </c>
      <c r="B66" s="1">
        <v>45584</v>
      </c>
      <c r="C66" s="2">
        <v>0.375</v>
      </c>
      <c r="D66">
        <v>28.2</v>
      </c>
      <c r="E66">
        <v>8.09</v>
      </c>
      <c r="F66" t="s">
        <v>15</v>
      </c>
      <c r="G66" t="s">
        <v>16</v>
      </c>
      <c r="H66" t="s">
        <v>2</v>
      </c>
      <c r="I66" t="s">
        <v>27</v>
      </c>
    </row>
    <row r="67" spans="1:9" x14ac:dyDescent="0.2">
      <c r="A67" t="s">
        <v>22</v>
      </c>
      <c r="B67" s="1">
        <v>45584</v>
      </c>
      <c r="C67" s="2">
        <v>0.375</v>
      </c>
      <c r="D67">
        <v>28.6</v>
      </c>
      <c r="E67">
        <v>8.09</v>
      </c>
      <c r="F67" t="s">
        <v>15</v>
      </c>
      <c r="G67" t="s">
        <v>16</v>
      </c>
      <c r="H67" t="s">
        <v>2</v>
      </c>
      <c r="I67" t="s">
        <v>27</v>
      </c>
    </row>
    <row r="68" spans="1:9" x14ac:dyDescent="0.2">
      <c r="A68" t="s">
        <v>23</v>
      </c>
      <c r="B68" s="1">
        <v>45584</v>
      </c>
      <c r="C68" s="2">
        <v>0.375</v>
      </c>
      <c r="D68">
        <v>28.2</v>
      </c>
      <c r="E68">
        <v>8.06</v>
      </c>
      <c r="F68" t="s">
        <v>15</v>
      </c>
      <c r="G68" t="s">
        <v>16</v>
      </c>
      <c r="H68" t="s">
        <v>2</v>
      </c>
      <c r="I68" t="s">
        <v>27</v>
      </c>
    </row>
    <row r="69" spans="1:9" x14ac:dyDescent="0.2">
      <c r="A69" t="s">
        <v>18</v>
      </c>
      <c r="B69" s="1">
        <v>45585</v>
      </c>
      <c r="C69" s="2">
        <v>0.375</v>
      </c>
      <c r="D69">
        <v>28</v>
      </c>
      <c r="E69">
        <v>8.1</v>
      </c>
      <c r="F69" t="s">
        <v>15</v>
      </c>
      <c r="G69" t="s">
        <v>16</v>
      </c>
      <c r="H69" t="s">
        <v>5</v>
      </c>
      <c r="I69" t="s">
        <v>27</v>
      </c>
    </row>
    <row r="70" spans="1:9" x14ac:dyDescent="0.2">
      <c r="A70" t="s">
        <v>19</v>
      </c>
      <c r="B70" s="1">
        <v>45585</v>
      </c>
      <c r="C70" s="2">
        <v>0.375</v>
      </c>
      <c r="D70">
        <v>28</v>
      </c>
      <c r="E70">
        <v>8.15</v>
      </c>
      <c r="F70" t="s">
        <v>15</v>
      </c>
      <c r="G70" t="s">
        <v>16</v>
      </c>
      <c r="H70" t="s">
        <v>5</v>
      </c>
      <c r="I70" t="s">
        <v>27</v>
      </c>
    </row>
    <row r="71" spans="1:9" x14ac:dyDescent="0.2">
      <c r="A71" t="s">
        <v>20</v>
      </c>
      <c r="B71" s="1">
        <v>45585</v>
      </c>
      <c r="C71" s="2">
        <v>0.375</v>
      </c>
      <c r="D71">
        <v>28</v>
      </c>
      <c r="E71">
        <v>8.1199999999999992</v>
      </c>
      <c r="F71" t="s">
        <v>15</v>
      </c>
      <c r="G71" t="s">
        <v>16</v>
      </c>
      <c r="H71" t="s">
        <v>2</v>
      </c>
      <c r="I71" t="s">
        <v>27</v>
      </c>
    </row>
    <row r="72" spans="1:9" x14ac:dyDescent="0.2">
      <c r="A72" t="s">
        <v>22</v>
      </c>
      <c r="B72" s="1">
        <v>45585</v>
      </c>
      <c r="C72" s="2">
        <v>0.375</v>
      </c>
      <c r="D72">
        <v>28</v>
      </c>
      <c r="E72">
        <v>8.15</v>
      </c>
      <c r="F72" t="s">
        <v>15</v>
      </c>
      <c r="G72" t="s">
        <v>16</v>
      </c>
      <c r="H72" t="s">
        <v>2</v>
      </c>
      <c r="I72" t="s">
        <v>27</v>
      </c>
    </row>
    <row r="73" spans="1:9" x14ac:dyDescent="0.2">
      <c r="A73" t="s">
        <v>23</v>
      </c>
      <c r="B73" s="1">
        <v>45585</v>
      </c>
      <c r="C73" s="2">
        <v>0.375</v>
      </c>
      <c r="D73">
        <v>28</v>
      </c>
      <c r="E73">
        <v>8.15</v>
      </c>
      <c r="F73" t="s">
        <v>15</v>
      </c>
      <c r="G73" t="s">
        <v>16</v>
      </c>
      <c r="H73" t="s">
        <v>2</v>
      </c>
      <c r="I73" t="s">
        <v>27</v>
      </c>
    </row>
    <row r="74" spans="1:9" x14ac:dyDescent="0.2">
      <c r="A74" t="s">
        <v>0</v>
      </c>
      <c r="B74" s="1">
        <v>45630</v>
      </c>
      <c r="C74" s="2">
        <v>0.60416666666666663</v>
      </c>
      <c r="D74">
        <v>7.4</v>
      </c>
      <c r="E74">
        <v>7.77</v>
      </c>
      <c r="F74">
        <v>24.19</v>
      </c>
      <c r="G74" t="s">
        <v>1</v>
      </c>
      <c r="H74" t="s">
        <v>2</v>
      </c>
      <c r="I74" t="s">
        <v>28</v>
      </c>
    </row>
    <row r="75" spans="1:9" x14ac:dyDescent="0.2">
      <c r="A75" t="s">
        <v>3</v>
      </c>
      <c r="B75" s="1">
        <v>45630</v>
      </c>
      <c r="C75" s="2">
        <v>0.60416666666666663</v>
      </c>
      <c r="D75">
        <v>7.4</v>
      </c>
      <c r="E75">
        <v>7.73</v>
      </c>
      <c r="F75">
        <v>24.21</v>
      </c>
      <c r="G75" t="s">
        <v>1</v>
      </c>
      <c r="H75" t="s">
        <v>2</v>
      </c>
      <c r="I75" t="s">
        <v>28</v>
      </c>
    </row>
    <row r="76" spans="1:9" x14ac:dyDescent="0.2">
      <c r="A76" t="s">
        <v>4</v>
      </c>
      <c r="B76" s="1">
        <v>45630</v>
      </c>
      <c r="C76" s="2">
        <v>0.60416666666666663</v>
      </c>
      <c r="D76">
        <v>7.4</v>
      </c>
      <c r="E76">
        <v>7.74</v>
      </c>
      <c r="F76">
        <v>24.22</v>
      </c>
      <c r="G76" t="s">
        <v>1</v>
      </c>
      <c r="H76" t="s">
        <v>5</v>
      </c>
      <c r="I76" t="s">
        <v>28</v>
      </c>
    </row>
    <row r="77" spans="1:9" x14ac:dyDescent="0.2">
      <c r="A77" t="s">
        <v>6</v>
      </c>
      <c r="B77" s="1">
        <v>45630</v>
      </c>
      <c r="C77" s="2">
        <v>0.60416666666666663</v>
      </c>
      <c r="D77">
        <v>7.4</v>
      </c>
      <c r="E77">
        <v>7.73</v>
      </c>
      <c r="F77">
        <v>24.21</v>
      </c>
      <c r="G77" t="s">
        <v>1</v>
      </c>
      <c r="H77" t="s">
        <v>5</v>
      </c>
      <c r="I77" t="s">
        <v>28</v>
      </c>
    </row>
    <row r="78" spans="1:9" x14ac:dyDescent="0.2">
      <c r="A78" t="s">
        <v>0</v>
      </c>
      <c r="B78" s="1">
        <v>45664</v>
      </c>
      <c r="C78" s="2">
        <v>0.54166666666666663</v>
      </c>
      <c r="D78">
        <v>7.9</v>
      </c>
      <c r="E78">
        <v>7.65</v>
      </c>
      <c r="F78">
        <v>23.32</v>
      </c>
      <c r="G78" t="s">
        <v>1</v>
      </c>
      <c r="H78" t="s">
        <v>2</v>
      </c>
      <c r="I78" t="s">
        <v>28</v>
      </c>
    </row>
    <row r="79" spans="1:9" x14ac:dyDescent="0.2">
      <c r="A79" t="s">
        <v>3</v>
      </c>
      <c r="B79" s="1">
        <v>45664</v>
      </c>
      <c r="C79" s="2">
        <v>0.54166666666666663</v>
      </c>
      <c r="D79">
        <v>7.8</v>
      </c>
      <c r="E79">
        <v>7.63</v>
      </c>
      <c r="F79">
        <v>23.36</v>
      </c>
      <c r="G79" t="s">
        <v>1</v>
      </c>
      <c r="H79" t="s">
        <v>2</v>
      </c>
      <c r="I79" t="s">
        <v>28</v>
      </c>
    </row>
    <row r="80" spans="1:9" x14ac:dyDescent="0.2">
      <c r="A80" t="s">
        <v>4</v>
      </c>
      <c r="B80" s="1">
        <v>45664</v>
      </c>
      <c r="C80" s="2">
        <v>0.54166666666666663</v>
      </c>
      <c r="D80">
        <v>7.8</v>
      </c>
      <c r="E80">
        <v>7.68</v>
      </c>
      <c r="F80">
        <v>23.34</v>
      </c>
      <c r="G80" t="s">
        <v>1</v>
      </c>
      <c r="H80" t="s">
        <v>5</v>
      </c>
      <c r="I80" t="s">
        <v>28</v>
      </c>
    </row>
    <row r="81" spans="1:9" x14ac:dyDescent="0.2">
      <c r="A81" t="s">
        <v>6</v>
      </c>
      <c r="B81" s="1">
        <v>45664</v>
      </c>
      <c r="C81" s="2">
        <v>0.54166666666666663</v>
      </c>
      <c r="D81">
        <v>7.8</v>
      </c>
      <c r="E81">
        <v>7.7</v>
      </c>
      <c r="F81">
        <v>23.34</v>
      </c>
      <c r="G81" t="s">
        <v>1</v>
      </c>
      <c r="H81" t="s">
        <v>5</v>
      </c>
      <c r="I81" t="s">
        <v>28</v>
      </c>
    </row>
    <row r="82" spans="1:9" x14ac:dyDescent="0.2">
      <c r="B82" s="1"/>
    </row>
    <row r="83" spans="1:9" x14ac:dyDescent="0.2">
      <c r="B83" s="1"/>
    </row>
    <row r="84" spans="1:9" x14ac:dyDescent="0.2">
      <c r="B84" s="1"/>
      <c r="C84" s="2"/>
    </row>
    <row r="85" spans="1:9" x14ac:dyDescent="0.2">
      <c r="B85" s="1"/>
      <c r="C8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Huffmyer</dc:creator>
  <cp:lastModifiedBy>Ariana Huffmyer</cp:lastModifiedBy>
  <dcterms:created xsi:type="dcterms:W3CDTF">2024-12-05T02:59:26Z</dcterms:created>
  <dcterms:modified xsi:type="dcterms:W3CDTF">2026-10-30T19:52:10Z</dcterms:modified>
</cp:coreProperties>
</file>